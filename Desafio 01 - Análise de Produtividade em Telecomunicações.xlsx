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DOS TRATADOS" sheetId="2" r:id="rId6"/>
    <sheet state="visible" name="BASE CRUA" sheetId="3" r:id="rId7"/>
  </sheets>
  <definedNames/>
  <calcPr/>
</workbook>
</file>

<file path=xl/sharedStrings.xml><?xml version="1.0" encoding="utf-8"?>
<sst xmlns="http://schemas.openxmlformats.org/spreadsheetml/2006/main" count="366" uniqueCount="75">
  <si>
    <t>DASHBOARD DE PRODUTIVIDADE</t>
  </si>
  <si>
    <t>Indicador</t>
  </si>
  <si>
    <t>Resultado</t>
  </si>
  <si>
    <t>Equipe</t>
  </si>
  <si>
    <t>Atividades atrasadas</t>
  </si>
  <si>
    <t>Concluídas avaliáveis</t>
  </si>
  <si>
    <t>Taxa de atraso</t>
  </si>
  <si>
    <t>Total de atividades</t>
  </si>
  <si>
    <t>Equipe Norte</t>
  </si>
  <si>
    <t>Atividades concluídas</t>
  </si>
  <si>
    <t>Equipe Sul</t>
  </si>
  <si>
    <t>Atividades pendentes</t>
  </si>
  <si>
    <t>Equipe Centro</t>
  </si>
  <si>
    <t>Não informada</t>
  </si>
  <si>
    <t>Concluídas no prazo</t>
  </si>
  <si>
    <t>Sem dados de prazo</t>
  </si>
  <si>
    <t>Taxa de cuprimento do prazo</t>
  </si>
  <si>
    <t>Tipo de serviço</t>
  </si>
  <si>
    <t>Instalação</t>
  </si>
  <si>
    <t>Manutenção</t>
  </si>
  <si>
    <t>Vistoria</t>
  </si>
  <si>
    <t>Reparo de fibra</t>
  </si>
  <si>
    <t>TOTAL</t>
  </si>
  <si>
    <t>ID Atividade</t>
  </si>
  <si>
    <t>Data de abertura</t>
  </si>
  <si>
    <t>Status</t>
  </si>
  <si>
    <t>Tempo (dias)</t>
  </si>
  <si>
    <t>Prazo (dias)</t>
  </si>
  <si>
    <t>Qualidade dos dados</t>
  </si>
  <si>
    <t>Situação do prazo</t>
  </si>
  <si>
    <t>AT-1001</t>
  </si>
  <si>
    <t>Pendente</t>
  </si>
  <si>
    <t>AT-1002</t>
  </si>
  <si>
    <t>Concluída</t>
  </si>
  <si>
    <t>AT-1003</t>
  </si>
  <si>
    <t>AT-1004</t>
  </si>
  <si>
    <t>AT-1005</t>
  </si>
  <si>
    <t>AT-1006</t>
  </si>
  <si>
    <t>AT-1007</t>
  </si>
  <si>
    <t>AT-1008</t>
  </si>
  <si>
    <t>AT-1009</t>
  </si>
  <si>
    <t>AT-1010</t>
  </si>
  <si>
    <t>AT-1011</t>
  </si>
  <si>
    <t>AT-1012</t>
  </si>
  <si>
    <t>AT-1013</t>
  </si>
  <si>
    <t>AT-1014</t>
  </si>
  <si>
    <t>AT-1015</t>
  </si>
  <si>
    <t>AT-1016</t>
  </si>
  <si>
    <t>AT-1017</t>
  </si>
  <si>
    <t>AT-1018</t>
  </si>
  <si>
    <t>AT-1019</t>
  </si>
  <si>
    <t>AT-1020</t>
  </si>
  <si>
    <t>AT-1021</t>
  </si>
  <si>
    <t>AT-1022</t>
  </si>
  <si>
    <t>AT-1023</t>
  </si>
  <si>
    <t>AT-1024</t>
  </si>
  <si>
    <t>AT-1025</t>
  </si>
  <si>
    <t>AT-1026</t>
  </si>
  <si>
    <t>AT-1027</t>
  </si>
  <si>
    <t>AT-1028</t>
  </si>
  <si>
    <t>AT-1029</t>
  </si>
  <si>
    <t>AT-1030</t>
  </si>
  <si>
    <t>AT-1031</t>
  </si>
  <si>
    <t>AT-1032</t>
  </si>
  <si>
    <t>AT-1033</t>
  </si>
  <si>
    <t>AT-1034</t>
  </si>
  <si>
    <t>AT-1035</t>
  </si>
  <si>
    <t>AT-1036</t>
  </si>
  <si>
    <t>AT-1037</t>
  </si>
  <si>
    <t>AT-1038</t>
  </si>
  <si>
    <t>AT-1039</t>
  </si>
  <si>
    <t>AT-1040</t>
  </si>
  <si>
    <t>equipe norte</t>
  </si>
  <si>
    <t>manutencao</t>
  </si>
  <si>
    <t>concluida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</si>
</sst>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color theme="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Carlito"/>
    </font>
    <font>
      <b/>
      <color theme="1"/>
      <name val="Arial"/>
      <scheme val="minor"/>
    </font>
    <font>
      <sz val="11.0"/>
      <color rgb="FF000000"/>
      <name val="Carlito"/>
    </font>
    <font>
      <b/>
      <sz val="11.0"/>
      <color rgb="FFFFFFFF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rgb="FFD0E0E3"/>
        <bgColor rgb="FFD0E0E3"/>
      </patternFill>
    </fill>
    <fill>
      <patternFill patternType="solid">
        <fgColor rgb="FF334155"/>
        <bgColor rgb="FF334155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0" xfId="0" applyFont="1" applyNumberFormat="1"/>
    <xf borderId="0" fillId="4" fontId="4" numFmtId="0" xfId="0" applyAlignment="1" applyFill="1" applyFont="1">
      <alignment readingOrder="0"/>
    </xf>
    <xf borderId="0" fillId="4" fontId="4" numFmtId="10" xfId="0" applyFill="1" applyFont="1" applyNumberFormat="1"/>
    <xf borderId="0" fillId="0" fontId="5" numFmtId="0" xfId="0" applyAlignment="1" applyFont="1">
      <alignment horizontal="left" readingOrder="0" shrinkToFit="0" vertical="bottom" wrapText="0"/>
    </xf>
    <xf borderId="0" fillId="0" fontId="5" numFmtId="164" xfId="0" applyAlignment="1" applyFont="1" applyNumberFormat="1">
      <alignment horizontal="left" readingOrder="0" shrinkToFit="0" vertical="bottom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wrapText="0"/>
    </xf>
    <xf borderId="0" fillId="0" fontId="7" numFmtId="0" xfId="0" applyAlignment="1" applyFont="1">
      <alignment readingOrder="0" shrinkToFit="0" vertical="bottom" wrapText="0"/>
    </xf>
    <xf borderId="0" fillId="0" fontId="7" numFmtId="164" xfId="0" applyAlignment="1" applyFont="1" applyNumberForma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5" fontId="8" numFmtId="0" xfId="0" applyAlignment="1" applyFill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1">
    <tableStyle count="4" pivot="0" name="DADOS TRATAD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Atividades atrasadas por Equipe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DASHBOARD!$E$3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DASHBOARD!$D$4:$D$7</c:f>
            </c:strRef>
          </c:cat>
          <c:val>
            <c:numRef>
              <c:f>DASHBOARD!$E$4:$E$7</c:f>
              <c:numCache/>
            </c:numRef>
          </c:val>
        </c:ser>
        <c:axId val="1016059625"/>
        <c:axId val="297787265"/>
      </c:barChart>
      <c:catAx>
        <c:axId val="10160596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Equipe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7787265"/>
      </c:catAx>
      <c:valAx>
        <c:axId val="2977872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Atividades atrasadas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605962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Taxa de atraso por Equipe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DASHBOARD!$G$3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DASHBOARD!$D$4:$D$7</c:f>
            </c:strRef>
          </c:cat>
          <c:val>
            <c:numRef>
              <c:f>DASHBOARD!$G$4:$G$7</c:f>
              <c:numCache/>
            </c:numRef>
          </c:val>
        </c:ser>
        <c:axId val="1600722048"/>
        <c:axId val="1093550896"/>
      </c:barChart>
      <c:catAx>
        <c:axId val="16007220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Equipe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3550896"/>
      </c:catAx>
      <c:valAx>
        <c:axId val="10935508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Taxa de atraso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072204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295275</xdr:colOff>
      <xdr:row>0</xdr:row>
      <xdr:rowOff>38100</xdr:rowOff>
    </xdr:from>
    <xdr:ext cx="3524250" cy="21812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295275</xdr:colOff>
      <xdr:row>10</xdr:row>
      <xdr:rowOff>209550</xdr:rowOff>
    </xdr:from>
    <xdr:ext cx="3524250" cy="21812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41" displayName="Tabela_1" name="Tabela_1" id="1">
  <tableColumns count="9">
    <tableColumn name="ID Atividade" id="1"/>
    <tableColumn name="Data de abertura" id="2"/>
    <tableColumn name="Equipe" id="3"/>
    <tableColumn name="Tipo de serviço" id="4"/>
    <tableColumn name="Status" id="5"/>
    <tableColumn name="Tempo (dias)" id="6"/>
    <tableColumn name="Prazo (dias)" id="7"/>
    <tableColumn name="Qualidade dos dados" id="8"/>
    <tableColumn name="Situação do prazo" id="9"/>
  </tableColumns>
  <tableStyleInfo name="DADOS TRAT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7.75"/>
    <col customWidth="1" min="3" max="3" width="18.5"/>
    <col customWidth="1" min="5" max="5" width="17.88"/>
    <col customWidth="1" min="6" max="6" width="19.0"/>
  </cols>
  <sheetData>
    <row r="1">
      <c r="A1" s="1" t="s">
        <v>0</v>
      </c>
    </row>
    <row r="3">
      <c r="A3" s="2" t="s">
        <v>1</v>
      </c>
      <c r="B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>
      <c r="A4" s="3" t="s">
        <v>7</v>
      </c>
      <c r="B4" s="4">
        <f>COUNTA('DADOS TRATADOS'!A2:A1000)</f>
        <v>40</v>
      </c>
      <c r="D4" s="3" t="s">
        <v>8</v>
      </c>
      <c r="E4" s="4">
        <f>COUNTIFS('DADOS TRATADOS'!C:C,D4,'DADOS TRATADOS'!I:I,"Atrasada")</f>
        <v>10</v>
      </c>
      <c r="F4" s="4">
        <f>COUNTIFS('DADOS TRATADOS'!C:C,D4,'DADOS TRATADOS'!I:I,"Atrasada")+COUNTIFS('DADOS TRATADOS'!C:C,D4,'DADOS TRATADOS'!I:I,"No prazo")</f>
        <v>13</v>
      </c>
      <c r="G4" s="5">
        <f t="shared" ref="G4:G7" si="1">IFERROR(E4/F4,0)</f>
        <v>0.7692307692</v>
      </c>
    </row>
    <row r="5">
      <c r="A5" s="3" t="s">
        <v>9</v>
      </c>
      <c r="B5" s="4">
        <f>COUNTIF('DADOS TRATADOS'!E2:E1000,"Concluída")</f>
        <v>34</v>
      </c>
      <c r="D5" s="3" t="s">
        <v>10</v>
      </c>
      <c r="E5" s="4">
        <f>COUNTIFS('DADOS TRATADOS'!C:C,D5,'DADOS TRATADOS'!I:I,"Atrasada")</f>
        <v>4</v>
      </c>
      <c r="F5" s="4">
        <f>COUNTIFS('DADOS TRATADOS'!C:C,D5,'DADOS TRATADOS'!I:I,"Atrasada")+COUNTIFS('DADOS TRATADOS'!C:C,D5,'DADOS TRATADOS'!I:I,"No prazo")</f>
        <v>10</v>
      </c>
      <c r="G5" s="5">
        <f t="shared" si="1"/>
        <v>0.4</v>
      </c>
    </row>
    <row r="6">
      <c r="A6" s="3" t="s">
        <v>11</v>
      </c>
      <c r="B6" s="4">
        <f>COUNTIF('DADOS TRATADOS'!E2:E1000,"Pendente")</f>
        <v>6</v>
      </c>
      <c r="D6" s="3" t="s">
        <v>12</v>
      </c>
      <c r="E6" s="4">
        <f>COUNTIFS('DADOS TRATADOS'!C:C,D6,'DADOS TRATADOS'!I:I,"Atrasada")</f>
        <v>2</v>
      </c>
      <c r="F6" s="4">
        <f>COUNTIFS('DADOS TRATADOS'!C:C,D6,'DADOS TRATADOS'!I:I,"Atrasada")+COUNTIFS('DADOS TRATADOS'!C:C,D6,'DADOS TRATADOS'!I:I,"No prazo")</f>
        <v>9</v>
      </c>
      <c r="G6" s="5">
        <f t="shared" si="1"/>
        <v>0.2222222222</v>
      </c>
    </row>
    <row r="7">
      <c r="A7" s="3" t="s">
        <v>4</v>
      </c>
      <c r="B7" s="4">
        <f>COUNTIF('DADOS TRATADOS'!I2:I1000,"Atrasada")</f>
        <v>16</v>
      </c>
      <c r="D7" s="3" t="s">
        <v>13</v>
      </c>
      <c r="E7" s="4">
        <f>COUNTIFS('DADOS TRATADOS'!C:C,D7,'DADOS TRATADOS'!I:I,"Atrasada")</f>
        <v>0</v>
      </c>
      <c r="F7" s="4">
        <f>COUNTIFS('DADOS TRATADOS'!C:C,D7,'DADOS TRATADOS'!I:I,"Atrasada")+COUNTIFS('DADOS TRATADOS'!C:C,D7,'DADOS TRATADOS'!I:I,"No prazo")</f>
        <v>1</v>
      </c>
      <c r="G7" s="5">
        <f t="shared" si="1"/>
        <v>0</v>
      </c>
    </row>
    <row r="8">
      <c r="A8" s="3" t="s">
        <v>14</v>
      </c>
      <c r="B8" s="4">
        <f>COUNTIF('DADOS TRATADOS'!I2:I1000,"No prazo")</f>
        <v>17</v>
      </c>
    </row>
    <row r="9">
      <c r="A9" s="3" t="s">
        <v>15</v>
      </c>
      <c r="B9" s="4">
        <f>COUNTIF('DADOS TRATADOS'!I2:I1000,"Sem dados")</f>
        <v>1</v>
      </c>
    </row>
    <row r="11">
      <c r="A11" s="6" t="s">
        <v>16</v>
      </c>
      <c r="B11" s="7">
        <f>IFERROR(B8/(B7+B8),0)</f>
        <v>0.5151515152</v>
      </c>
    </row>
    <row r="14">
      <c r="A14" s="2" t="s">
        <v>17</v>
      </c>
      <c r="B14" s="2" t="s">
        <v>4</v>
      </c>
      <c r="C14" s="2" t="s">
        <v>5</v>
      </c>
      <c r="D14" s="2" t="s">
        <v>6</v>
      </c>
    </row>
    <row r="15">
      <c r="A15" s="3" t="s">
        <v>18</v>
      </c>
      <c r="B15" s="4">
        <f>COUNTIFS('DADOS TRATADOS'!D:D,A15,'DADOS TRATADOS'!I:I,"Atrasada")</f>
        <v>4</v>
      </c>
      <c r="C15" s="4">
        <f>COUNTIFS('DADOS TRATADOS'!D:D,A15,'DADOS TRATADOS'!I:I,"Atrasada")+COUNTIFS('DADOS TRATADOS'!D:D,A15,'DADOS TRATADOS'!I:I,"No prazo")</f>
        <v>8</v>
      </c>
      <c r="D15" s="5">
        <f t="shared" ref="D15:D18" si="2">IFERROR(B15/C15,0)</f>
        <v>0.5</v>
      </c>
    </row>
    <row r="16">
      <c r="A16" s="3" t="s">
        <v>19</v>
      </c>
      <c r="B16" s="4">
        <f>COUNTIFS('DADOS TRATADOS'!D:D,A16,'DADOS TRATADOS'!I:I,"Atrasada")</f>
        <v>6</v>
      </c>
      <c r="C16" s="4">
        <f>COUNTIFS('DADOS TRATADOS'!D:D,A16,'DADOS TRATADOS'!I:I,"Atrasada")+COUNTIFS('DADOS TRATADOS'!D:D,A16,'DADOS TRATADOS'!I:I,"No prazo")</f>
        <v>10</v>
      </c>
      <c r="D16" s="5">
        <f t="shared" si="2"/>
        <v>0.6</v>
      </c>
    </row>
    <row r="17">
      <c r="A17" s="3" t="s">
        <v>20</v>
      </c>
      <c r="B17" s="4">
        <f>COUNTIFS('DADOS TRATADOS'!D:D,A17,'DADOS TRATADOS'!I:I,"Atrasada")</f>
        <v>2</v>
      </c>
      <c r="C17" s="4">
        <f>COUNTIFS('DADOS TRATADOS'!D:D,A17,'DADOS TRATADOS'!I:I,"Atrasada")+COUNTIFS('DADOS TRATADOS'!D:D,A17,'DADOS TRATADOS'!I:I,"No prazo")</f>
        <v>8</v>
      </c>
      <c r="D17" s="5">
        <f t="shared" si="2"/>
        <v>0.25</v>
      </c>
    </row>
    <row r="18">
      <c r="A18" s="3" t="s">
        <v>21</v>
      </c>
      <c r="B18" s="4">
        <f>COUNTIFS('DADOS TRATADOS'!D:D,A18,'DADOS TRATADOS'!I:I,"Atrasada")</f>
        <v>4</v>
      </c>
      <c r="C18" s="4">
        <f>COUNTIFS('DADOS TRATADOS'!D:D,A18,'DADOS TRATADOS'!I:I,"Atrasada")+COUNTIFS('DADOS TRATADOS'!D:D,A18,'DADOS TRATADOS'!I:I,"No prazo")</f>
        <v>7</v>
      </c>
      <c r="D18" s="5">
        <f t="shared" si="2"/>
        <v>0.5714285714</v>
      </c>
    </row>
    <row r="19">
      <c r="A19" s="3" t="s">
        <v>22</v>
      </c>
      <c r="B19" s="4">
        <f>SUM(B15:B18)</f>
        <v>16</v>
      </c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21.63"/>
    <col customWidth="1" min="3" max="3" width="13.38"/>
    <col customWidth="1" min="4" max="4" width="21.88"/>
    <col customWidth="1" min="5" max="5" width="19.5"/>
    <col customWidth="1" min="6" max="6" width="15.25"/>
    <col customWidth="1" min="7" max="7" width="14.25"/>
    <col customWidth="1" min="8" max="8" width="21.13"/>
    <col customWidth="1" min="9" max="9" width="24.63"/>
  </cols>
  <sheetData>
    <row r="1" ht="22.5" customHeight="1">
      <c r="A1" s="8" t="s">
        <v>23</v>
      </c>
      <c r="B1" s="9" t="s">
        <v>24</v>
      </c>
      <c r="C1" s="8" t="s">
        <v>3</v>
      </c>
      <c r="D1" s="8" t="s">
        <v>17</v>
      </c>
      <c r="E1" s="8" t="s">
        <v>25</v>
      </c>
      <c r="F1" s="8" t="s">
        <v>26</v>
      </c>
      <c r="G1" s="8" t="s">
        <v>27</v>
      </c>
      <c r="H1" s="10" t="s">
        <v>28</v>
      </c>
      <c r="I1" s="11" t="s">
        <v>29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ht="22.5" customHeight="1">
      <c r="A2" s="13" t="s">
        <v>30</v>
      </c>
      <c r="B2" s="14">
        <v>46266.0</v>
      </c>
      <c r="C2" s="13" t="s">
        <v>8</v>
      </c>
      <c r="D2" s="15" t="s">
        <v>18</v>
      </c>
      <c r="E2" s="15" t="s">
        <v>31</v>
      </c>
      <c r="F2" s="16"/>
      <c r="G2" s="13">
        <v>5.0</v>
      </c>
      <c r="H2" s="17" t="str">
        <f t="shared" ref="H2:H41" si="1">IF(E2="","Verificar status",IF(E2="Concluída",IF(F2="","Dado ausente","Completo"),"Não aplicável"))</f>
        <v>Não aplicável</v>
      </c>
      <c r="I2" s="18" t="str">
        <f t="shared" ref="I2:I41" si="2">IF(E2&lt;&gt;"Concluída","Em aberto",IF(OR(F2="",G2=""),"Sem dados",IF(F2&gt;G2,"Atrasada","No prazo")))</f>
        <v>Em aberto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ht="22.5" customHeight="1">
      <c r="A3" s="13" t="s">
        <v>32</v>
      </c>
      <c r="B3" s="14">
        <v>46267.0</v>
      </c>
      <c r="C3" s="13" t="s">
        <v>10</v>
      </c>
      <c r="D3" s="15" t="s">
        <v>20</v>
      </c>
      <c r="E3" s="15" t="s">
        <v>33</v>
      </c>
      <c r="F3" s="13">
        <v>2.0</v>
      </c>
      <c r="G3" s="13">
        <v>5.0</v>
      </c>
      <c r="H3" s="17" t="str">
        <f t="shared" si="1"/>
        <v>Completo</v>
      </c>
      <c r="I3" s="18" t="str">
        <f t="shared" si="2"/>
        <v>No prazo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ht="22.5" customHeight="1">
      <c r="A4" s="13" t="s">
        <v>34</v>
      </c>
      <c r="B4" s="14">
        <v>46268.0</v>
      </c>
      <c r="C4" s="13" t="s">
        <v>12</v>
      </c>
      <c r="D4" s="15" t="s">
        <v>21</v>
      </c>
      <c r="E4" s="15" t="s">
        <v>33</v>
      </c>
      <c r="F4" s="13">
        <v>3.0</v>
      </c>
      <c r="G4" s="13">
        <v>5.0</v>
      </c>
      <c r="H4" s="17" t="str">
        <f t="shared" si="1"/>
        <v>Completo</v>
      </c>
      <c r="I4" s="18" t="str">
        <f t="shared" si="2"/>
        <v>No prazo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22.5" customHeight="1">
      <c r="A5" s="13" t="s">
        <v>35</v>
      </c>
      <c r="B5" s="14">
        <v>46269.0</v>
      </c>
      <c r="C5" s="13" t="s">
        <v>8</v>
      </c>
      <c r="D5" s="15" t="s">
        <v>19</v>
      </c>
      <c r="E5" s="15" t="s">
        <v>33</v>
      </c>
      <c r="F5" s="13">
        <v>6.0</v>
      </c>
      <c r="G5" s="13">
        <v>5.0</v>
      </c>
      <c r="H5" s="17" t="str">
        <f t="shared" si="1"/>
        <v>Completo</v>
      </c>
      <c r="I5" s="18" t="str">
        <f t="shared" si="2"/>
        <v>Atrasada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ht="22.5" customHeight="1">
      <c r="A6" s="13" t="s">
        <v>36</v>
      </c>
      <c r="B6" s="14">
        <v>46270.0</v>
      </c>
      <c r="C6" s="13" t="s">
        <v>10</v>
      </c>
      <c r="D6" s="15" t="s">
        <v>19</v>
      </c>
      <c r="E6" s="15" t="s">
        <v>33</v>
      </c>
      <c r="F6" s="13">
        <v>6.0</v>
      </c>
      <c r="G6" s="13">
        <v>5.0</v>
      </c>
      <c r="H6" s="17" t="str">
        <f t="shared" si="1"/>
        <v>Completo</v>
      </c>
      <c r="I6" s="18" t="str">
        <f t="shared" si="2"/>
        <v>Atrasada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ht="22.5" customHeight="1">
      <c r="A7" s="13" t="s">
        <v>37</v>
      </c>
      <c r="B7" s="14">
        <v>46271.0</v>
      </c>
      <c r="C7" s="13" t="s">
        <v>8</v>
      </c>
      <c r="D7" s="15" t="s">
        <v>18</v>
      </c>
      <c r="E7" s="15" t="s">
        <v>33</v>
      </c>
      <c r="F7" s="13">
        <v>8.0</v>
      </c>
      <c r="G7" s="13">
        <v>5.0</v>
      </c>
      <c r="H7" s="17" t="str">
        <f t="shared" si="1"/>
        <v>Completo</v>
      </c>
      <c r="I7" s="18" t="str">
        <f t="shared" si="2"/>
        <v>Atrasada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ht="22.5" customHeight="1">
      <c r="A8" s="13" t="s">
        <v>38</v>
      </c>
      <c r="B8" s="14">
        <v>46272.0</v>
      </c>
      <c r="C8" s="13" t="s">
        <v>8</v>
      </c>
      <c r="D8" s="15" t="s">
        <v>20</v>
      </c>
      <c r="E8" s="15" t="s">
        <v>33</v>
      </c>
      <c r="F8" s="13">
        <v>12.0</v>
      </c>
      <c r="G8" s="13">
        <v>5.0</v>
      </c>
      <c r="H8" s="17" t="str">
        <f t="shared" si="1"/>
        <v>Completo</v>
      </c>
      <c r="I8" s="18" t="str">
        <f t="shared" si="2"/>
        <v>Atrasada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22.5" customHeight="1">
      <c r="A9" s="13" t="s">
        <v>39</v>
      </c>
      <c r="B9" s="14">
        <v>46273.0</v>
      </c>
      <c r="C9" s="13" t="s">
        <v>10</v>
      </c>
      <c r="D9" s="15" t="s">
        <v>21</v>
      </c>
      <c r="E9" s="15" t="s">
        <v>31</v>
      </c>
      <c r="F9" s="16"/>
      <c r="G9" s="13">
        <v>5.0</v>
      </c>
      <c r="H9" s="17" t="str">
        <f t="shared" si="1"/>
        <v>Não aplicável</v>
      </c>
      <c r="I9" s="18" t="str">
        <f t="shared" si="2"/>
        <v>Em aberto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ht="22.5" customHeight="1">
      <c r="A10" s="13" t="s">
        <v>40</v>
      </c>
      <c r="B10" s="14">
        <v>46274.0</v>
      </c>
      <c r="C10" s="13" t="s">
        <v>12</v>
      </c>
      <c r="D10" s="15" t="s">
        <v>19</v>
      </c>
      <c r="E10" s="15" t="s">
        <v>33</v>
      </c>
      <c r="F10" s="13">
        <v>5.0</v>
      </c>
      <c r="G10" s="13">
        <v>5.0</v>
      </c>
      <c r="H10" s="17" t="str">
        <f t="shared" si="1"/>
        <v>Completo</v>
      </c>
      <c r="I10" s="18" t="str">
        <f t="shared" si="2"/>
        <v>No prazo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ht="22.5" customHeight="1">
      <c r="A11" s="13" t="s">
        <v>41</v>
      </c>
      <c r="B11" s="14">
        <v>46275.0</v>
      </c>
      <c r="C11" s="13" t="s">
        <v>8</v>
      </c>
      <c r="D11" s="15" t="s">
        <v>19</v>
      </c>
      <c r="E11" s="15" t="s">
        <v>33</v>
      </c>
      <c r="F11" s="13">
        <v>9.0</v>
      </c>
      <c r="G11" s="13">
        <v>5.0</v>
      </c>
      <c r="H11" s="17" t="str">
        <f t="shared" si="1"/>
        <v>Completo</v>
      </c>
      <c r="I11" s="18" t="str">
        <f t="shared" si="2"/>
        <v>Atrasada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ht="22.5" customHeight="1">
      <c r="A12" s="13" t="s">
        <v>42</v>
      </c>
      <c r="B12" s="14">
        <v>46276.0</v>
      </c>
      <c r="C12" s="13" t="s">
        <v>10</v>
      </c>
      <c r="D12" s="15" t="s">
        <v>18</v>
      </c>
      <c r="E12" s="15" t="s">
        <v>33</v>
      </c>
      <c r="F12" s="13">
        <v>1.0</v>
      </c>
      <c r="G12" s="13">
        <v>5.0</v>
      </c>
      <c r="H12" s="17" t="str">
        <f t="shared" si="1"/>
        <v>Completo</v>
      </c>
      <c r="I12" s="18" t="str">
        <f t="shared" si="2"/>
        <v>No prazo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ht="22.5" customHeight="1">
      <c r="A13" s="13" t="s">
        <v>43</v>
      </c>
      <c r="B13" s="14">
        <v>46277.0</v>
      </c>
      <c r="C13" s="13" t="s">
        <v>13</v>
      </c>
      <c r="D13" s="15" t="s">
        <v>20</v>
      </c>
      <c r="E13" s="15" t="s">
        <v>33</v>
      </c>
      <c r="F13" s="13">
        <v>2.0</v>
      </c>
      <c r="G13" s="13">
        <v>5.0</v>
      </c>
      <c r="H13" s="17" t="str">
        <f t="shared" si="1"/>
        <v>Completo</v>
      </c>
      <c r="I13" s="18" t="str">
        <f t="shared" si="2"/>
        <v>No prazo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ht="22.5" customHeight="1">
      <c r="A14" s="13" t="s">
        <v>44</v>
      </c>
      <c r="B14" s="14">
        <v>46278.0</v>
      </c>
      <c r="C14" s="13" t="s">
        <v>8</v>
      </c>
      <c r="D14" s="15" t="s">
        <v>20</v>
      </c>
      <c r="E14" s="15" t="s">
        <v>33</v>
      </c>
      <c r="F14" s="13">
        <v>5.0</v>
      </c>
      <c r="G14" s="13">
        <v>5.0</v>
      </c>
      <c r="H14" s="17" t="str">
        <f t="shared" si="1"/>
        <v>Completo</v>
      </c>
      <c r="I14" s="18" t="str">
        <f t="shared" si="2"/>
        <v>No prazo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ht="22.5" customHeight="1">
      <c r="A15" s="13" t="s">
        <v>45</v>
      </c>
      <c r="B15" s="14">
        <v>46279.0</v>
      </c>
      <c r="C15" s="13" t="s">
        <v>10</v>
      </c>
      <c r="D15" s="15" t="s">
        <v>21</v>
      </c>
      <c r="E15" s="15" t="s">
        <v>33</v>
      </c>
      <c r="F15" s="13">
        <v>4.0</v>
      </c>
      <c r="G15" s="13">
        <v>5.0</v>
      </c>
      <c r="H15" s="17" t="str">
        <f t="shared" si="1"/>
        <v>Completo</v>
      </c>
      <c r="I15" s="18" t="str">
        <f t="shared" si="2"/>
        <v>No prazo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ht="22.5" customHeight="1">
      <c r="A16" s="13" t="s">
        <v>46</v>
      </c>
      <c r="B16" s="14">
        <v>46280.0</v>
      </c>
      <c r="C16" s="13" t="s">
        <v>12</v>
      </c>
      <c r="D16" s="15" t="s">
        <v>19</v>
      </c>
      <c r="E16" s="15" t="s">
        <v>31</v>
      </c>
      <c r="F16" s="16"/>
      <c r="G16" s="13">
        <v>5.0</v>
      </c>
      <c r="H16" s="17" t="str">
        <f t="shared" si="1"/>
        <v>Não aplicável</v>
      </c>
      <c r="I16" s="18" t="str">
        <f t="shared" si="2"/>
        <v>Em aberto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ht="22.5" customHeight="1">
      <c r="A17" s="13" t="s">
        <v>47</v>
      </c>
      <c r="B17" s="14">
        <v>46281.0</v>
      </c>
      <c r="C17" s="13" t="s">
        <v>8</v>
      </c>
      <c r="D17" s="15" t="s">
        <v>18</v>
      </c>
      <c r="E17" s="15" t="s">
        <v>33</v>
      </c>
      <c r="F17" s="13">
        <v>10.0</v>
      </c>
      <c r="G17" s="13">
        <v>5.0</v>
      </c>
      <c r="H17" s="17" t="str">
        <f t="shared" si="1"/>
        <v>Completo</v>
      </c>
      <c r="I17" s="18" t="str">
        <f t="shared" si="2"/>
        <v>Atrasada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ht="22.5" customHeight="1">
      <c r="A18" s="13" t="s">
        <v>48</v>
      </c>
      <c r="B18" s="14">
        <v>46282.0</v>
      </c>
      <c r="C18" s="13" t="s">
        <v>10</v>
      </c>
      <c r="D18" s="15" t="s">
        <v>18</v>
      </c>
      <c r="E18" s="15" t="s">
        <v>33</v>
      </c>
      <c r="F18" s="13">
        <v>10.0</v>
      </c>
      <c r="G18" s="13">
        <v>5.0</v>
      </c>
      <c r="H18" s="17" t="str">
        <f t="shared" si="1"/>
        <v>Completo</v>
      </c>
      <c r="I18" s="18" t="str">
        <f t="shared" si="2"/>
        <v>Atrasada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ht="22.5" customHeight="1">
      <c r="A19" s="13" t="s">
        <v>49</v>
      </c>
      <c r="B19" s="14">
        <v>46283.0</v>
      </c>
      <c r="C19" s="13" t="s">
        <v>12</v>
      </c>
      <c r="D19" s="15" t="s">
        <v>20</v>
      </c>
      <c r="E19" s="15" t="s">
        <v>33</v>
      </c>
      <c r="F19" s="13">
        <v>2.0</v>
      </c>
      <c r="G19" s="13">
        <v>5.0</v>
      </c>
      <c r="H19" s="17" t="str">
        <f t="shared" si="1"/>
        <v>Completo</v>
      </c>
      <c r="I19" s="18" t="str">
        <f t="shared" si="2"/>
        <v>No prazo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ht="22.5" customHeight="1">
      <c r="A20" s="13" t="s">
        <v>50</v>
      </c>
      <c r="B20" s="14">
        <v>46284.0</v>
      </c>
      <c r="C20" s="13" t="s">
        <v>8</v>
      </c>
      <c r="D20" s="15" t="s">
        <v>21</v>
      </c>
      <c r="E20" s="15" t="s">
        <v>33</v>
      </c>
      <c r="F20" s="16"/>
      <c r="G20" s="13">
        <v>5.0</v>
      </c>
      <c r="H20" s="17" t="str">
        <f t="shared" si="1"/>
        <v>Dado ausente</v>
      </c>
      <c r="I20" s="18" t="str">
        <f t="shared" si="2"/>
        <v>Sem dados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ht="22.5" customHeight="1">
      <c r="A21" s="13" t="s">
        <v>51</v>
      </c>
      <c r="B21" s="14">
        <v>46285.0</v>
      </c>
      <c r="C21" s="13" t="s">
        <v>8</v>
      </c>
      <c r="D21" s="15" t="s">
        <v>19</v>
      </c>
      <c r="E21" s="15" t="s">
        <v>33</v>
      </c>
      <c r="F21" s="13">
        <v>7.0</v>
      </c>
      <c r="G21" s="13">
        <v>5.0</v>
      </c>
      <c r="H21" s="17" t="str">
        <f t="shared" si="1"/>
        <v>Completo</v>
      </c>
      <c r="I21" s="18" t="str">
        <f t="shared" si="2"/>
        <v>Atrasada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ht="22.5" customHeight="1">
      <c r="A22" s="13" t="s">
        <v>52</v>
      </c>
      <c r="B22" s="14">
        <v>46286.0</v>
      </c>
      <c r="C22" s="13" t="s">
        <v>12</v>
      </c>
      <c r="D22" s="15" t="s">
        <v>19</v>
      </c>
      <c r="E22" s="15" t="s">
        <v>33</v>
      </c>
      <c r="F22" s="13">
        <v>1.0</v>
      </c>
      <c r="G22" s="13">
        <v>5.0</v>
      </c>
      <c r="H22" s="17" t="str">
        <f t="shared" si="1"/>
        <v>Completo</v>
      </c>
      <c r="I22" s="18" t="str">
        <f t="shared" si="2"/>
        <v>No prazo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ht="22.5" customHeight="1">
      <c r="A23" s="13" t="s">
        <v>53</v>
      </c>
      <c r="B23" s="14">
        <v>46287.0</v>
      </c>
      <c r="C23" s="13" t="s">
        <v>8</v>
      </c>
      <c r="D23" s="15" t="s">
        <v>18</v>
      </c>
      <c r="E23" s="15" t="s">
        <v>31</v>
      </c>
      <c r="F23" s="16"/>
      <c r="G23" s="13">
        <v>5.0</v>
      </c>
      <c r="H23" s="17" t="str">
        <f t="shared" si="1"/>
        <v>Não aplicável</v>
      </c>
      <c r="I23" s="18" t="str">
        <f t="shared" si="2"/>
        <v>Em aberto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ht="22.5" customHeight="1">
      <c r="A24" s="13" t="s">
        <v>54</v>
      </c>
      <c r="B24" s="14">
        <v>46288.0</v>
      </c>
      <c r="C24" s="13" t="s">
        <v>10</v>
      </c>
      <c r="D24" s="15" t="s">
        <v>19</v>
      </c>
      <c r="E24" s="15" t="s">
        <v>33</v>
      </c>
      <c r="F24" s="13">
        <v>3.0</v>
      </c>
      <c r="G24" s="13">
        <v>5.0</v>
      </c>
      <c r="H24" s="17" t="str">
        <f t="shared" si="1"/>
        <v>Completo</v>
      </c>
      <c r="I24" s="18" t="str">
        <f t="shared" si="2"/>
        <v>No prazo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ht="22.5" customHeight="1">
      <c r="A25" s="13" t="s">
        <v>55</v>
      </c>
      <c r="B25" s="14">
        <v>46289.0</v>
      </c>
      <c r="C25" s="13" t="s">
        <v>12</v>
      </c>
      <c r="D25" s="15" t="s">
        <v>21</v>
      </c>
      <c r="E25" s="15" t="s">
        <v>33</v>
      </c>
      <c r="F25" s="13">
        <v>4.0</v>
      </c>
      <c r="G25" s="13">
        <v>5.0</v>
      </c>
      <c r="H25" s="17" t="str">
        <f t="shared" si="1"/>
        <v>Completo</v>
      </c>
      <c r="I25" s="18" t="str">
        <f t="shared" si="2"/>
        <v>No prazo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ht="22.5" customHeight="1">
      <c r="A26" s="13" t="s">
        <v>56</v>
      </c>
      <c r="B26" s="14">
        <v>46290.0</v>
      </c>
      <c r="C26" s="13" t="s">
        <v>8</v>
      </c>
      <c r="D26" s="15" t="s">
        <v>21</v>
      </c>
      <c r="E26" s="15" t="s">
        <v>33</v>
      </c>
      <c r="F26" s="13">
        <v>8.0</v>
      </c>
      <c r="G26" s="13">
        <v>5.0</v>
      </c>
      <c r="H26" s="17" t="str">
        <f t="shared" si="1"/>
        <v>Completo</v>
      </c>
      <c r="I26" s="18" t="str">
        <f t="shared" si="2"/>
        <v>Atrasada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ht="22.5" customHeight="1">
      <c r="A27" s="13" t="s">
        <v>57</v>
      </c>
      <c r="B27" s="14">
        <v>46266.0</v>
      </c>
      <c r="C27" s="13" t="s">
        <v>10</v>
      </c>
      <c r="D27" s="15" t="s">
        <v>19</v>
      </c>
      <c r="E27" s="15" t="s">
        <v>33</v>
      </c>
      <c r="F27" s="13">
        <v>8.0</v>
      </c>
      <c r="G27" s="13">
        <v>5.0</v>
      </c>
      <c r="H27" s="17" t="str">
        <f t="shared" si="1"/>
        <v>Completo</v>
      </c>
      <c r="I27" s="18" t="str">
        <f t="shared" si="2"/>
        <v>Atrasada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22.5" customHeight="1">
      <c r="A28" s="13" t="s">
        <v>58</v>
      </c>
      <c r="B28" s="14">
        <v>46267.0</v>
      </c>
      <c r="C28" s="13" t="s">
        <v>12</v>
      </c>
      <c r="D28" s="15" t="s">
        <v>18</v>
      </c>
      <c r="E28" s="15" t="s">
        <v>33</v>
      </c>
      <c r="F28" s="13">
        <v>10.0</v>
      </c>
      <c r="G28" s="13">
        <v>5.0</v>
      </c>
      <c r="H28" s="17" t="str">
        <f t="shared" si="1"/>
        <v>Completo</v>
      </c>
      <c r="I28" s="18" t="str">
        <f t="shared" si="2"/>
        <v>Atrasada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22.5" customHeight="1">
      <c r="A29" s="13" t="s">
        <v>59</v>
      </c>
      <c r="B29" s="14">
        <v>46268.0</v>
      </c>
      <c r="C29" s="13" t="s">
        <v>8</v>
      </c>
      <c r="D29" s="15" t="s">
        <v>20</v>
      </c>
      <c r="E29" s="15" t="s">
        <v>33</v>
      </c>
      <c r="F29" s="13">
        <v>4.0</v>
      </c>
      <c r="G29" s="13">
        <v>5.0</v>
      </c>
      <c r="H29" s="17" t="str">
        <f t="shared" si="1"/>
        <v>Completo</v>
      </c>
      <c r="I29" s="18" t="str">
        <f t="shared" si="2"/>
        <v>No prazo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22.5" customHeight="1">
      <c r="A30" s="13" t="s">
        <v>60</v>
      </c>
      <c r="B30" s="14">
        <v>46269.0</v>
      </c>
      <c r="C30" s="13" t="s">
        <v>10</v>
      </c>
      <c r="D30" s="15" t="s">
        <v>20</v>
      </c>
      <c r="E30" s="15" t="s">
        <v>31</v>
      </c>
      <c r="F30" s="16"/>
      <c r="G30" s="13">
        <v>5.0</v>
      </c>
      <c r="H30" s="17" t="str">
        <f t="shared" si="1"/>
        <v>Não aplicável</v>
      </c>
      <c r="I30" s="18" t="str">
        <f t="shared" si="2"/>
        <v>Em aberto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22.5" customHeight="1">
      <c r="A31" s="13" t="s">
        <v>61</v>
      </c>
      <c r="B31" s="14">
        <v>46270.0</v>
      </c>
      <c r="C31" s="13" t="s">
        <v>12</v>
      </c>
      <c r="D31" s="15" t="s">
        <v>21</v>
      </c>
      <c r="E31" s="15" t="s">
        <v>33</v>
      </c>
      <c r="F31" s="13">
        <v>7.0</v>
      </c>
      <c r="G31" s="13">
        <v>5.0</v>
      </c>
      <c r="H31" s="17" t="str">
        <f t="shared" si="1"/>
        <v>Completo</v>
      </c>
      <c r="I31" s="18" t="str">
        <f t="shared" si="2"/>
        <v>Atrasada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22.5" customHeight="1">
      <c r="A32" s="13" t="s">
        <v>62</v>
      </c>
      <c r="B32" s="14">
        <v>46271.0</v>
      </c>
      <c r="C32" s="13" t="s">
        <v>8</v>
      </c>
      <c r="D32" s="15" t="s">
        <v>19</v>
      </c>
      <c r="E32" s="15" t="s">
        <v>33</v>
      </c>
      <c r="F32" s="13">
        <v>3.0</v>
      </c>
      <c r="G32" s="13">
        <v>5.0</v>
      </c>
      <c r="H32" s="17" t="str">
        <f t="shared" si="1"/>
        <v>Completo</v>
      </c>
      <c r="I32" s="18" t="str">
        <f t="shared" si="2"/>
        <v>No prazo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22.5" customHeight="1">
      <c r="A33" s="13" t="s">
        <v>63</v>
      </c>
      <c r="B33" s="14">
        <v>46272.0</v>
      </c>
      <c r="C33" s="13" t="s">
        <v>10</v>
      </c>
      <c r="D33" s="15" t="s">
        <v>18</v>
      </c>
      <c r="E33" s="15" t="s">
        <v>33</v>
      </c>
      <c r="F33" s="13">
        <v>2.0</v>
      </c>
      <c r="G33" s="13">
        <v>5.0</v>
      </c>
      <c r="H33" s="17" t="str">
        <f t="shared" si="1"/>
        <v>Completo</v>
      </c>
      <c r="I33" s="18" t="str">
        <f t="shared" si="2"/>
        <v>No prazo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22.5" customHeight="1">
      <c r="A34" s="13" t="s">
        <v>64</v>
      </c>
      <c r="B34" s="14">
        <v>46273.0</v>
      </c>
      <c r="C34" s="13" t="s">
        <v>12</v>
      </c>
      <c r="D34" s="15" t="s">
        <v>18</v>
      </c>
      <c r="E34" s="15" t="s">
        <v>33</v>
      </c>
      <c r="F34" s="13">
        <v>3.0</v>
      </c>
      <c r="G34" s="13">
        <v>5.0</v>
      </c>
      <c r="H34" s="17" t="str">
        <f t="shared" si="1"/>
        <v>Completo</v>
      </c>
      <c r="I34" s="18" t="str">
        <f t="shared" si="2"/>
        <v>No prazo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22.5" customHeight="1">
      <c r="A35" s="13" t="s">
        <v>65</v>
      </c>
      <c r="B35" s="14">
        <v>46274.0</v>
      </c>
      <c r="C35" s="13" t="s">
        <v>8</v>
      </c>
      <c r="D35" s="15" t="s">
        <v>20</v>
      </c>
      <c r="E35" s="15" t="s">
        <v>33</v>
      </c>
      <c r="F35" s="13">
        <v>6.0</v>
      </c>
      <c r="G35" s="13">
        <v>5.0</v>
      </c>
      <c r="H35" s="17" t="str">
        <f t="shared" si="1"/>
        <v>Completo</v>
      </c>
      <c r="I35" s="18" t="str">
        <f t="shared" si="2"/>
        <v>Atrasada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22.5" customHeight="1">
      <c r="A36" s="13" t="s">
        <v>66</v>
      </c>
      <c r="B36" s="14">
        <v>46275.0</v>
      </c>
      <c r="C36" s="13" t="s">
        <v>10</v>
      </c>
      <c r="D36" s="15" t="s">
        <v>21</v>
      </c>
      <c r="E36" s="15" t="s">
        <v>33</v>
      </c>
      <c r="F36" s="13">
        <v>6.0</v>
      </c>
      <c r="G36" s="13">
        <v>5.0</v>
      </c>
      <c r="H36" s="17" t="str">
        <f t="shared" si="1"/>
        <v>Completo</v>
      </c>
      <c r="I36" s="18" t="str">
        <f t="shared" si="2"/>
        <v>Atrasada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22.5" customHeight="1">
      <c r="A37" s="13" t="s">
        <v>67</v>
      </c>
      <c r="B37" s="14">
        <v>46276.0</v>
      </c>
      <c r="C37" s="13" t="s">
        <v>12</v>
      </c>
      <c r="D37" s="15" t="s">
        <v>19</v>
      </c>
      <c r="E37" s="15" t="s">
        <v>31</v>
      </c>
      <c r="F37" s="16"/>
      <c r="G37" s="13">
        <v>5.0</v>
      </c>
      <c r="H37" s="17" t="str">
        <f t="shared" si="1"/>
        <v>Não aplicável</v>
      </c>
      <c r="I37" s="18" t="str">
        <f t="shared" si="2"/>
        <v>Em aberto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22.5" customHeight="1">
      <c r="A38" s="13" t="s">
        <v>68</v>
      </c>
      <c r="B38" s="14">
        <v>46277.0</v>
      </c>
      <c r="C38" s="13" t="s">
        <v>8</v>
      </c>
      <c r="D38" s="15" t="s">
        <v>19</v>
      </c>
      <c r="E38" s="15" t="s">
        <v>33</v>
      </c>
      <c r="F38" s="13">
        <v>12.0</v>
      </c>
      <c r="G38" s="13">
        <v>5.0</v>
      </c>
      <c r="H38" s="17" t="str">
        <f t="shared" si="1"/>
        <v>Completo</v>
      </c>
      <c r="I38" s="18" t="str">
        <f t="shared" si="2"/>
        <v>Atrasada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22.5" customHeight="1">
      <c r="A39" s="13" t="s">
        <v>69</v>
      </c>
      <c r="B39" s="14">
        <v>46278.0</v>
      </c>
      <c r="C39" s="13" t="s">
        <v>10</v>
      </c>
      <c r="D39" s="15" t="s">
        <v>18</v>
      </c>
      <c r="E39" s="15" t="s">
        <v>33</v>
      </c>
      <c r="F39" s="13">
        <v>2.0</v>
      </c>
      <c r="G39" s="13">
        <v>5.0</v>
      </c>
      <c r="H39" s="17" t="str">
        <f t="shared" si="1"/>
        <v>Completo</v>
      </c>
      <c r="I39" s="18" t="str">
        <f t="shared" si="2"/>
        <v>No prazo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22.5" customHeight="1">
      <c r="A40" s="13" t="s">
        <v>70</v>
      </c>
      <c r="B40" s="14">
        <v>46279.0</v>
      </c>
      <c r="C40" s="13" t="s">
        <v>12</v>
      </c>
      <c r="D40" s="15" t="s">
        <v>20</v>
      </c>
      <c r="E40" s="15" t="s">
        <v>33</v>
      </c>
      <c r="F40" s="13">
        <v>5.0</v>
      </c>
      <c r="G40" s="13">
        <v>5.0</v>
      </c>
      <c r="H40" s="17" t="str">
        <f t="shared" si="1"/>
        <v>Completo</v>
      </c>
      <c r="I40" s="18" t="str">
        <f t="shared" si="2"/>
        <v>No prazo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22.5" customHeight="1">
      <c r="A41" s="13" t="s">
        <v>71</v>
      </c>
      <c r="B41" s="14">
        <v>46280.0</v>
      </c>
      <c r="C41" s="13" t="s">
        <v>8</v>
      </c>
      <c r="D41" s="15" t="s">
        <v>21</v>
      </c>
      <c r="E41" s="15" t="s">
        <v>33</v>
      </c>
      <c r="F41" s="13">
        <v>9.0</v>
      </c>
      <c r="G41" s="13">
        <v>5.0</v>
      </c>
      <c r="H41" s="17" t="str">
        <f t="shared" si="1"/>
        <v>Completo</v>
      </c>
      <c r="I41" s="18" t="str">
        <f t="shared" si="2"/>
        <v>Atrasada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</sheetData>
  <conditionalFormatting sqref="A2:G41">
    <cfRule type="containsBlanks" dxfId="5" priority="1">
      <formula>LEN(TRIM(A2))=0</formula>
    </cfRule>
  </conditionalFormatting>
  <conditionalFormatting sqref="I1:I999">
    <cfRule type="cellIs" dxfId="6" priority="2" operator="equal">
      <formula>"Atrasada"</formula>
    </cfRule>
  </conditionalFormatting>
  <conditionalFormatting sqref="I1:I999">
    <cfRule type="cellIs" dxfId="5" priority="3" operator="equal">
      <formula>"No prazo"</formula>
    </cfRule>
  </conditionalFormatting>
  <conditionalFormatting sqref="I1:I999">
    <cfRule type="cellIs" dxfId="7" priority="4" operator="equal">
      <formula>"Sem dados"</formula>
    </cfRule>
  </conditionalFormatting>
  <dataValidations>
    <dataValidation type="list" allowBlank="1" showErrorMessage="1" sqref="D2:D41">
      <formula1>"Instalação,Manutenção,Reparo de fibra,Vistoria"</formula1>
    </dataValidation>
    <dataValidation type="custom" allowBlank="1" showDropDown="1" sqref="B2:B41">
      <formula1>OR(NOT(ISERROR(DATEVALUE(B2))), AND(ISNUMBER(B2), LEFT(CELL("format", B2))="D"))</formula1>
    </dataValidation>
    <dataValidation type="list" allowBlank="1" showErrorMessage="1" sqref="E2:E41">
      <formula1>"Concluída,Pendente"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23</v>
      </c>
      <c r="B1" s="19" t="s">
        <v>24</v>
      </c>
      <c r="C1" s="19" t="s">
        <v>3</v>
      </c>
      <c r="D1" s="19" t="s">
        <v>17</v>
      </c>
      <c r="E1" s="19" t="s">
        <v>25</v>
      </c>
      <c r="F1" s="19" t="s">
        <v>26</v>
      </c>
      <c r="G1" s="19" t="s">
        <v>27</v>
      </c>
    </row>
    <row r="2">
      <c r="A2" s="15" t="s">
        <v>30</v>
      </c>
      <c r="B2" s="15">
        <v>46266.0</v>
      </c>
      <c r="C2" s="15" t="s">
        <v>8</v>
      </c>
      <c r="D2" s="15" t="s">
        <v>18</v>
      </c>
      <c r="E2" s="15" t="s">
        <v>31</v>
      </c>
      <c r="F2" s="20"/>
      <c r="G2" s="15">
        <v>5.0</v>
      </c>
    </row>
    <row r="3">
      <c r="A3" s="15" t="s">
        <v>32</v>
      </c>
      <c r="B3" s="15">
        <v>46267.0</v>
      </c>
      <c r="C3" s="15" t="s">
        <v>10</v>
      </c>
      <c r="D3" s="15" t="s">
        <v>20</v>
      </c>
      <c r="E3" s="15" t="s">
        <v>33</v>
      </c>
      <c r="F3" s="15">
        <v>2.0</v>
      </c>
      <c r="G3" s="15">
        <v>5.0</v>
      </c>
    </row>
    <row r="4">
      <c r="A4" s="15" t="s">
        <v>34</v>
      </c>
      <c r="B4" s="15">
        <v>46268.0</v>
      </c>
      <c r="C4" s="15" t="s">
        <v>12</v>
      </c>
      <c r="D4" s="15" t="s">
        <v>21</v>
      </c>
      <c r="E4" s="15" t="s">
        <v>33</v>
      </c>
      <c r="F4" s="15">
        <v>3.0</v>
      </c>
      <c r="G4" s="15">
        <v>5.0</v>
      </c>
    </row>
    <row r="5">
      <c r="A5" s="15" t="s">
        <v>35</v>
      </c>
      <c r="B5" s="15">
        <v>46269.0</v>
      </c>
      <c r="C5" s="15" t="s">
        <v>8</v>
      </c>
      <c r="D5" s="15" t="s">
        <v>19</v>
      </c>
      <c r="E5" s="15" t="s">
        <v>33</v>
      </c>
      <c r="F5" s="15">
        <v>6.0</v>
      </c>
      <c r="G5" s="15">
        <v>5.0</v>
      </c>
    </row>
    <row r="6">
      <c r="A6" s="15" t="s">
        <v>36</v>
      </c>
      <c r="B6" s="15">
        <v>46270.0</v>
      </c>
      <c r="C6" s="15" t="s">
        <v>10</v>
      </c>
      <c r="D6" s="15" t="s">
        <v>19</v>
      </c>
      <c r="E6" s="15" t="s">
        <v>33</v>
      </c>
      <c r="F6" s="15">
        <v>6.0</v>
      </c>
      <c r="G6" s="15">
        <v>5.0</v>
      </c>
    </row>
    <row r="7">
      <c r="A7" s="15" t="s">
        <v>37</v>
      </c>
      <c r="B7" s="15">
        <v>46271.0</v>
      </c>
      <c r="C7" s="15" t="s">
        <v>72</v>
      </c>
      <c r="D7" s="15" t="s">
        <v>18</v>
      </c>
      <c r="E7" s="15" t="s">
        <v>33</v>
      </c>
      <c r="F7" s="15">
        <v>8.0</v>
      </c>
      <c r="G7" s="15">
        <v>5.0</v>
      </c>
    </row>
    <row r="8">
      <c r="A8" s="15" t="s">
        <v>38</v>
      </c>
      <c r="B8" s="15">
        <v>46272.0</v>
      </c>
      <c r="C8" s="15" t="s">
        <v>8</v>
      </c>
      <c r="D8" s="15" t="s">
        <v>20</v>
      </c>
      <c r="E8" s="15" t="s">
        <v>33</v>
      </c>
      <c r="F8" s="15">
        <v>12.0</v>
      </c>
      <c r="G8" s="15">
        <v>5.0</v>
      </c>
    </row>
    <row r="9">
      <c r="A9" s="15" t="s">
        <v>39</v>
      </c>
      <c r="B9" s="15">
        <v>46273.0</v>
      </c>
      <c r="C9" s="15" t="s">
        <v>10</v>
      </c>
      <c r="D9" s="15" t="s">
        <v>21</v>
      </c>
      <c r="E9" s="15" t="s">
        <v>31</v>
      </c>
      <c r="F9" s="20"/>
      <c r="G9" s="15">
        <v>5.0</v>
      </c>
    </row>
    <row r="10">
      <c r="A10" s="15" t="s">
        <v>40</v>
      </c>
      <c r="B10" s="15">
        <v>46274.0</v>
      </c>
      <c r="C10" s="15" t="s">
        <v>12</v>
      </c>
      <c r="D10" s="15" t="s">
        <v>73</v>
      </c>
      <c r="E10" s="15" t="s">
        <v>33</v>
      </c>
      <c r="F10" s="15">
        <v>5.0</v>
      </c>
      <c r="G10" s="15">
        <v>5.0</v>
      </c>
    </row>
    <row r="11">
      <c r="A11" s="15" t="s">
        <v>41</v>
      </c>
      <c r="B11" s="15">
        <v>46275.0</v>
      </c>
      <c r="C11" s="15" t="s">
        <v>8</v>
      </c>
      <c r="D11" s="15" t="s">
        <v>19</v>
      </c>
      <c r="E11" s="15" t="s">
        <v>33</v>
      </c>
      <c r="F11" s="15">
        <v>9.0</v>
      </c>
      <c r="G11" s="15">
        <v>5.0</v>
      </c>
    </row>
    <row r="12">
      <c r="A12" s="15" t="s">
        <v>42</v>
      </c>
      <c r="B12" s="15">
        <v>46276.0</v>
      </c>
      <c r="C12" s="15" t="s">
        <v>10</v>
      </c>
      <c r="D12" s="15" t="s">
        <v>18</v>
      </c>
      <c r="E12" s="15" t="s">
        <v>33</v>
      </c>
      <c r="F12" s="15">
        <v>1.0</v>
      </c>
      <c r="G12" s="15">
        <v>5.0</v>
      </c>
    </row>
    <row r="13">
      <c r="A13" s="15" t="s">
        <v>43</v>
      </c>
      <c r="B13" s="15">
        <v>46277.0</v>
      </c>
      <c r="C13" s="20"/>
      <c r="D13" s="15" t="s">
        <v>20</v>
      </c>
      <c r="E13" s="15" t="s">
        <v>33</v>
      </c>
      <c r="F13" s="15">
        <v>2.0</v>
      </c>
      <c r="G13" s="15">
        <v>5.0</v>
      </c>
    </row>
    <row r="14">
      <c r="A14" s="20"/>
      <c r="B14" s="20"/>
      <c r="C14" s="20"/>
      <c r="D14" s="20"/>
      <c r="E14" s="20"/>
      <c r="F14" s="20"/>
      <c r="G14" s="20"/>
    </row>
    <row r="15">
      <c r="A15" s="15" t="s">
        <v>44</v>
      </c>
      <c r="B15" s="15">
        <v>46278.0</v>
      </c>
      <c r="C15" s="15" t="s">
        <v>8</v>
      </c>
      <c r="D15" s="15" t="s">
        <v>20</v>
      </c>
      <c r="E15" s="15" t="s">
        <v>33</v>
      </c>
      <c r="F15" s="15">
        <v>5.0</v>
      </c>
      <c r="G15" s="15">
        <v>5.0</v>
      </c>
    </row>
    <row r="16">
      <c r="A16" s="15" t="s">
        <v>45</v>
      </c>
      <c r="B16" s="15">
        <v>46279.0</v>
      </c>
      <c r="C16" s="15" t="s">
        <v>10</v>
      </c>
      <c r="D16" s="15" t="s">
        <v>21</v>
      </c>
      <c r="E16" s="15" t="s">
        <v>33</v>
      </c>
      <c r="F16" s="15">
        <v>4.0</v>
      </c>
      <c r="G16" s="15">
        <v>5.0</v>
      </c>
    </row>
    <row r="17">
      <c r="A17" s="15" t="s">
        <v>46</v>
      </c>
      <c r="B17" s="15">
        <v>46280.0</v>
      </c>
      <c r="C17" s="15" t="s">
        <v>12</v>
      </c>
      <c r="D17" s="15" t="s">
        <v>19</v>
      </c>
      <c r="E17" s="15" t="s">
        <v>31</v>
      </c>
      <c r="F17" s="20"/>
      <c r="G17" s="15">
        <v>5.0</v>
      </c>
    </row>
    <row r="18">
      <c r="A18" s="15" t="s">
        <v>47</v>
      </c>
      <c r="B18" s="15">
        <v>46281.0</v>
      </c>
      <c r="C18" s="15" t="s">
        <v>8</v>
      </c>
      <c r="D18" s="15" t="s">
        <v>18</v>
      </c>
      <c r="E18" s="15" t="s">
        <v>74</v>
      </c>
      <c r="F18" s="15">
        <v>10.0</v>
      </c>
      <c r="G18" s="15">
        <v>5.0</v>
      </c>
    </row>
    <row r="19">
      <c r="A19" s="15" t="s">
        <v>48</v>
      </c>
      <c r="B19" s="15">
        <v>46282.0</v>
      </c>
      <c r="C19" s="15" t="s">
        <v>10</v>
      </c>
      <c r="D19" s="15" t="s">
        <v>18</v>
      </c>
      <c r="E19" s="15" t="s">
        <v>33</v>
      </c>
      <c r="F19" s="15">
        <v>10.0</v>
      </c>
      <c r="G19" s="15">
        <v>5.0</v>
      </c>
    </row>
    <row r="20">
      <c r="A20" s="15" t="s">
        <v>49</v>
      </c>
      <c r="B20" s="15">
        <v>46283.0</v>
      </c>
      <c r="C20" s="15" t="s">
        <v>12</v>
      </c>
      <c r="D20" s="15" t="s">
        <v>20</v>
      </c>
      <c r="E20" s="15" t="s">
        <v>33</v>
      </c>
      <c r="F20" s="15">
        <v>2.0</v>
      </c>
      <c r="G20" s="15">
        <v>5.0</v>
      </c>
    </row>
    <row r="21">
      <c r="A21" s="15" t="s">
        <v>50</v>
      </c>
      <c r="B21" s="15">
        <v>46284.0</v>
      </c>
      <c r="C21" s="15" t="s">
        <v>8</v>
      </c>
      <c r="D21" s="15" t="s">
        <v>21</v>
      </c>
      <c r="E21" s="15" t="s">
        <v>33</v>
      </c>
      <c r="F21" s="20"/>
      <c r="G21" s="15">
        <v>5.0</v>
      </c>
    </row>
    <row r="22">
      <c r="A22" s="15" t="s">
        <v>51</v>
      </c>
      <c r="B22" s="15">
        <v>46285.0</v>
      </c>
      <c r="C22" s="15" t="s">
        <v>72</v>
      </c>
      <c r="D22" s="15" t="s">
        <v>19</v>
      </c>
      <c r="E22" s="15" t="s">
        <v>33</v>
      </c>
      <c r="F22" s="15">
        <v>7.0</v>
      </c>
      <c r="G22" s="15">
        <v>5.0</v>
      </c>
    </row>
    <row r="23">
      <c r="A23" s="15" t="s">
        <v>52</v>
      </c>
      <c r="B23" s="15">
        <v>46286.0</v>
      </c>
      <c r="C23" s="15" t="s">
        <v>12</v>
      </c>
      <c r="D23" s="15" t="s">
        <v>19</v>
      </c>
      <c r="E23" s="15" t="s">
        <v>33</v>
      </c>
      <c r="F23" s="15">
        <v>1.0</v>
      </c>
      <c r="G23" s="15">
        <v>5.0</v>
      </c>
    </row>
    <row r="24">
      <c r="A24" s="15" t="s">
        <v>53</v>
      </c>
      <c r="B24" s="15">
        <v>46287.0</v>
      </c>
      <c r="C24" s="15" t="s">
        <v>8</v>
      </c>
      <c r="D24" s="15" t="s">
        <v>18</v>
      </c>
      <c r="E24" s="15" t="s">
        <v>31</v>
      </c>
      <c r="F24" s="20"/>
      <c r="G24" s="15">
        <v>5.0</v>
      </c>
    </row>
    <row r="25">
      <c r="A25" s="15" t="s">
        <v>54</v>
      </c>
      <c r="B25" s="15">
        <v>46288.0</v>
      </c>
      <c r="C25" s="15" t="s">
        <v>10</v>
      </c>
      <c r="D25" s="15" t="s">
        <v>73</v>
      </c>
      <c r="E25" s="15" t="s">
        <v>33</v>
      </c>
      <c r="F25" s="15">
        <v>3.0</v>
      </c>
      <c r="G25" s="15">
        <v>5.0</v>
      </c>
    </row>
    <row r="26">
      <c r="A26" s="15" t="s">
        <v>41</v>
      </c>
      <c r="B26" s="15">
        <v>46275.0</v>
      </c>
      <c r="C26" s="15" t="s">
        <v>8</v>
      </c>
      <c r="D26" s="15" t="s">
        <v>19</v>
      </c>
      <c r="E26" s="15" t="s">
        <v>33</v>
      </c>
      <c r="F26" s="15">
        <v>9.0</v>
      </c>
      <c r="G26" s="15">
        <v>5.0</v>
      </c>
    </row>
    <row r="27">
      <c r="A27" s="15" t="s">
        <v>55</v>
      </c>
      <c r="B27" s="15">
        <v>46289.0</v>
      </c>
      <c r="C27" s="15" t="s">
        <v>12</v>
      </c>
      <c r="D27" s="15" t="s">
        <v>21</v>
      </c>
      <c r="E27" s="15" t="s">
        <v>33</v>
      </c>
      <c r="F27" s="15">
        <v>4.0</v>
      </c>
      <c r="G27" s="15">
        <v>5.0</v>
      </c>
    </row>
    <row r="28">
      <c r="A28" s="15" t="s">
        <v>56</v>
      </c>
      <c r="B28" s="15">
        <v>46290.0</v>
      </c>
      <c r="C28" s="15" t="s">
        <v>8</v>
      </c>
      <c r="D28" s="15" t="s">
        <v>21</v>
      </c>
      <c r="E28" s="15" t="s">
        <v>33</v>
      </c>
      <c r="F28" s="15">
        <v>8.0</v>
      </c>
      <c r="G28" s="15">
        <v>5.0</v>
      </c>
    </row>
    <row r="29">
      <c r="A29" s="15" t="s">
        <v>57</v>
      </c>
      <c r="B29" s="15">
        <v>46266.0</v>
      </c>
      <c r="C29" s="15" t="s">
        <v>10</v>
      </c>
      <c r="D29" s="15" t="s">
        <v>19</v>
      </c>
      <c r="E29" s="15" t="s">
        <v>33</v>
      </c>
      <c r="F29" s="15">
        <v>8.0</v>
      </c>
      <c r="G29" s="15">
        <v>5.0</v>
      </c>
    </row>
    <row r="30">
      <c r="A30" s="15" t="s">
        <v>58</v>
      </c>
      <c r="B30" s="15">
        <v>46267.0</v>
      </c>
      <c r="C30" s="15" t="s">
        <v>12</v>
      </c>
      <c r="D30" s="15" t="s">
        <v>18</v>
      </c>
      <c r="E30" s="15" t="s">
        <v>33</v>
      </c>
      <c r="F30" s="15">
        <v>10.0</v>
      </c>
      <c r="G30" s="15">
        <v>5.0</v>
      </c>
    </row>
    <row r="31">
      <c r="A31" s="15" t="s">
        <v>59</v>
      </c>
      <c r="B31" s="15">
        <v>46268.0</v>
      </c>
      <c r="C31" s="15" t="s">
        <v>8</v>
      </c>
      <c r="D31" s="15" t="s">
        <v>20</v>
      </c>
      <c r="E31" s="15" t="s">
        <v>33</v>
      </c>
      <c r="F31" s="15">
        <v>4.0</v>
      </c>
      <c r="G31" s="15">
        <v>5.0</v>
      </c>
    </row>
    <row r="32">
      <c r="A32" s="15" t="s">
        <v>60</v>
      </c>
      <c r="B32" s="15">
        <v>46269.0</v>
      </c>
      <c r="C32" s="15" t="s">
        <v>10</v>
      </c>
      <c r="D32" s="15" t="s">
        <v>20</v>
      </c>
      <c r="E32" s="15" t="s">
        <v>31</v>
      </c>
      <c r="F32" s="20"/>
      <c r="G32" s="15">
        <v>5.0</v>
      </c>
    </row>
    <row r="33">
      <c r="A33" s="15" t="s">
        <v>61</v>
      </c>
      <c r="B33" s="15">
        <v>46270.0</v>
      </c>
      <c r="C33" s="15" t="s">
        <v>12</v>
      </c>
      <c r="D33" s="15" t="s">
        <v>21</v>
      </c>
      <c r="E33" s="15" t="s">
        <v>33</v>
      </c>
      <c r="F33" s="15">
        <v>7.0</v>
      </c>
      <c r="G33" s="15">
        <v>5.0</v>
      </c>
    </row>
    <row r="34">
      <c r="A34" s="15" t="s">
        <v>62</v>
      </c>
      <c r="B34" s="15">
        <v>46271.0</v>
      </c>
      <c r="C34" s="15" t="s">
        <v>8</v>
      </c>
      <c r="D34" s="15" t="s">
        <v>19</v>
      </c>
      <c r="E34" s="15" t="s">
        <v>33</v>
      </c>
      <c r="F34" s="15">
        <v>3.0</v>
      </c>
      <c r="G34" s="15">
        <v>5.0</v>
      </c>
    </row>
    <row r="35">
      <c r="A35" s="15" t="s">
        <v>63</v>
      </c>
      <c r="B35" s="15">
        <v>46272.0</v>
      </c>
      <c r="C35" s="15" t="s">
        <v>10</v>
      </c>
      <c r="D35" s="15" t="s">
        <v>18</v>
      </c>
      <c r="E35" s="15" t="s">
        <v>33</v>
      </c>
      <c r="F35" s="15">
        <v>2.0</v>
      </c>
      <c r="G35" s="15">
        <v>5.0</v>
      </c>
    </row>
    <row r="36">
      <c r="A36" s="15" t="s">
        <v>64</v>
      </c>
      <c r="B36" s="15">
        <v>46273.0</v>
      </c>
      <c r="C36" s="15" t="s">
        <v>12</v>
      </c>
      <c r="D36" s="15" t="s">
        <v>18</v>
      </c>
      <c r="E36" s="15" t="s">
        <v>33</v>
      </c>
      <c r="F36" s="15">
        <v>3.0</v>
      </c>
      <c r="G36" s="15">
        <v>5.0</v>
      </c>
    </row>
    <row r="37">
      <c r="A37" s="15" t="s">
        <v>65</v>
      </c>
      <c r="B37" s="15">
        <v>46274.0</v>
      </c>
      <c r="C37" s="15" t="s">
        <v>8</v>
      </c>
      <c r="D37" s="15" t="s">
        <v>20</v>
      </c>
      <c r="E37" s="15" t="s">
        <v>33</v>
      </c>
      <c r="F37" s="15">
        <v>6.0</v>
      </c>
      <c r="G37" s="15">
        <v>5.0</v>
      </c>
    </row>
    <row r="38">
      <c r="A38" s="15" t="s">
        <v>66</v>
      </c>
      <c r="B38" s="15">
        <v>46275.0</v>
      </c>
      <c r="C38" s="15" t="s">
        <v>10</v>
      </c>
      <c r="D38" s="15" t="s">
        <v>21</v>
      </c>
      <c r="E38" s="15" t="s">
        <v>33</v>
      </c>
      <c r="F38" s="15">
        <v>6.0</v>
      </c>
      <c r="G38" s="15">
        <v>5.0</v>
      </c>
    </row>
    <row r="39">
      <c r="A39" s="15" t="s">
        <v>67</v>
      </c>
      <c r="B39" s="15">
        <v>46276.0</v>
      </c>
      <c r="C39" s="15" t="s">
        <v>12</v>
      </c>
      <c r="D39" s="15" t="s">
        <v>19</v>
      </c>
      <c r="E39" s="15" t="s">
        <v>31</v>
      </c>
      <c r="F39" s="20"/>
      <c r="G39" s="15">
        <v>5.0</v>
      </c>
    </row>
    <row r="40">
      <c r="A40" s="15" t="s">
        <v>68</v>
      </c>
      <c r="B40" s="15">
        <v>46277.0</v>
      </c>
      <c r="C40" s="15" t="s">
        <v>8</v>
      </c>
      <c r="D40" s="15" t="s">
        <v>19</v>
      </c>
      <c r="E40" s="15" t="s">
        <v>33</v>
      </c>
      <c r="F40" s="15">
        <v>12.0</v>
      </c>
      <c r="G40" s="15">
        <v>5.0</v>
      </c>
    </row>
    <row r="41">
      <c r="A41" s="15" t="s">
        <v>69</v>
      </c>
      <c r="B41" s="15">
        <v>46278.0</v>
      </c>
      <c r="C41" s="15" t="s">
        <v>10</v>
      </c>
      <c r="D41" s="15" t="s">
        <v>18</v>
      </c>
      <c r="E41" s="15" t="s">
        <v>33</v>
      </c>
      <c r="F41" s="15">
        <v>2.0</v>
      </c>
      <c r="G41" s="15">
        <v>5.0</v>
      </c>
    </row>
    <row r="42">
      <c r="A42" s="15" t="s">
        <v>70</v>
      </c>
      <c r="B42" s="15">
        <v>46279.0</v>
      </c>
      <c r="C42" s="15" t="s">
        <v>12</v>
      </c>
      <c r="D42" s="15" t="s">
        <v>20</v>
      </c>
      <c r="E42" s="15" t="s">
        <v>33</v>
      </c>
      <c r="F42" s="15">
        <v>5.0</v>
      </c>
      <c r="G42" s="15">
        <v>5.0</v>
      </c>
    </row>
    <row r="43">
      <c r="A43" s="15" t="s">
        <v>71</v>
      </c>
      <c r="B43" s="15">
        <v>46280.0</v>
      </c>
      <c r="C43" s="15" t="s">
        <v>8</v>
      </c>
      <c r="D43" s="15" t="s">
        <v>21</v>
      </c>
      <c r="E43" s="15" t="s">
        <v>33</v>
      </c>
      <c r="F43" s="15">
        <v>9.0</v>
      </c>
      <c r="G43" s="15">
        <v>5.0</v>
      </c>
    </row>
    <row r="44">
      <c r="A44" s="20"/>
      <c r="B44" s="20"/>
      <c r="C44" s="20"/>
      <c r="D44" s="20"/>
      <c r="E44" s="20"/>
      <c r="F44" s="20"/>
      <c r="G44" s="20"/>
    </row>
    <row r="45">
      <c r="A45" s="20"/>
      <c r="B45" s="20"/>
      <c r="C45" s="20"/>
      <c r="D45" s="20"/>
      <c r="E45" s="20"/>
      <c r="F45" s="20"/>
      <c r="G45" s="20"/>
    </row>
    <row r="46">
      <c r="A46" s="20"/>
      <c r="B46" s="20"/>
      <c r="C46" s="20"/>
      <c r="D46" s="20"/>
      <c r="E46" s="20"/>
      <c r="F46" s="20"/>
      <c r="G46" s="20"/>
    </row>
    <row r="47">
      <c r="A47" s="20"/>
      <c r="B47" s="20"/>
      <c r="C47" s="20"/>
      <c r="D47" s="20"/>
      <c r="E47" s="20"/>
      <c r="F47" s="20"/>
      <c r="G47" s="20"/>
    </row>
  </sheetData>
  <drawing r:id="rId1"/>
</worksheet>
</file>